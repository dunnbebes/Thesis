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\University\4th year\Thesis\After Defend\Thesis\VALIDATION\"/>
    </mc:Choice>
  </mc:AlternateContent>
  <xr:revisionPtr revIDLastSave="0" documentId="13_ncr:1_{1F494BAD-35C2-4205-9937-90CEBE1B56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47" i="1" s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2" i="1"/>
</calcChain>
</file>

<file path=xl/sharedStrings.xml><?xml version="1.0" encoding="utf-8"?>
<sst xmlns="http://schemas.openxmlformats.org/spreadsheetml/2006/main" count="333" uniqueCount="31">
  <si>
    <t>TimeRun</t>
  </si>
  <si>
    <t>Method</t>
  </si>
  <si>
    <t>InstanceID</t>
  </si>
  <si>
    <t>ScenarioID</t>
  </si>
  <si>
    <t>Tardiness</t>
  </si>
  <si>
    <t>keyref2</t>
  </si>
  <si>
    <t>valid1</t>
  </si>
  <si>
    <t>valid2</t>
  </si>
  <si>
    <t>valid3</t>
  </si>
  <si>
    <t>valid4</t>
  </si>
  <si>
    <t>valid5</t>
  </si>
  <si>
    <t>valid6</t>
  </si>
  <si>
    <t>valid7</t>
  </si>
  <si>
    <t>valid8</t>
  </si>
  <si>
    <t>valid9</t>
  </si>
  <si>
    <t>valid10</t>
  </si>
  <si>
    <t>valid11</t>
  </si>
  <si>
    <t>valid12</t>
  </si>
  <si>
    <t>valid13</t>
  </si>
  <si>
    <t>valid14</t>
  </si>
  <si>
    <t>valid15</t>
  </si>
  <si>
    <t>A</t>
  </si>
  <si>
    <t>B</t>
  </si>
  <si>
    <t>C</t>
  </si>
  <si>
    <t xml:space="preserve">LFOH </t>
  </si>
  <si>
    <t>LAPH</t>
  </si>
  <si>
    <t>LAP-LFO</t>
  </si>
  <si>
    <t>Modified Luo's DDQN</t>
  </si>
  <si>
    <t>PR-DDQN</t>
  </si>
  <si>
    <t>Gap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</si>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</sst>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FFFFFF"/>
      <name val="Times New Roman"/>
      <family val="1"/>
    </font>
    <font>
      <sz val="8"/>
      <color rgb="FF000000"/>
      <name val="Times New Roman"/>
      <family val="1"/>
    </font>
    <font>
      <sz val="9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DEA99"/>
        <bgColor indexed="64"/>
      </patternFill>
    </fill>
    <fill>
      <patternFill patternType="solid">
        <fgColor rgb="FF84DDF9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thin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4" borderId="2" xfId="0" applyFont="1" applyFill="1" applyBorder="1" applyAlignment="1">
      <alignment horizontal="center" wrapText="1" readingOrder="1"/>
    </xf>
    <xf numFmtId="0" fontId="4" fillId="4" borderId="7" xfId="0" applyFont="1" applyFill="1" applyBorder="1" applyAlignment="1">
      <alignment horizontal="center" wrapText="1" readingOrder="1"/>
    </xf>
    <xf numFmtId="0" fontId="5" fillId="5" borderId="2" xfId="0" applyFont="1" applyFill="1" applyBorder="1" applyAlignment="1">
      <alignment horizontal="center" wrapText="1" readingOrder="1"/>
    </xf>
    <xf numFmtId="0" fontId="6" fillId="2" borderId="3" xfId="0" applyFont="1" applyFill="1" applyBorder="1" applyAlignment="1">
      <alignment horizontal="center" wrapText="1" readingOrder="1"/>
    </xf>
    <xf numFmtId="11" fontId="7" fillId="3" borderId="3" xfId="0" applyNumberFormat="1" applyFont="1" applyFill="1" applyBorder="1" applyAlignment="1">
      <alignment horizontal="right" wrapText="1" readingOrder="1"/>
    </xf>
    <xf numFmtId="11" fontId="7" fillId="2" borderId="3" xfId="0" applyNumberFormat="1" applyFont="1" applyFill="1" applyBorder="1" applyAlignment="1">
      <alignment horizontal="right" wrapText="1" readingOrder="1"/>
    </xf>
    <xf numFmtId="11" fontId="3" fillId="0" borderId="0" xfId="0" applyNumberFormat="1" applyFont="1"/>
    <xf numFmtId="0" fontId="6" fillId="2" borderId="6" xfId="0" applyFont="1" applyFill="1" applyBorder="1" applyAlignment="1">
      <alignment horizontal="center" wrapText="1" readingOrder="1"/>
    </xf>
    <xf numFmtId="11" fontId="7" fillId="2" borderId="6" xfId="0" applyNumberFormat="1" applyFont="1" applyFill="1" applyBorder="1" applyAlignment="1">
      <alignment horizontal="right" wrapText="1" readingOrder="1"/>
    </xf>
    <xf numFmtId="11" fontId="7" fillId="3" borderId="6" xfId="0" applyNumberFormat="1" applyFont="1" applyFill="1" applyBorder="1" applyAlignment="1">
      <alignment horizontal="right" wrapText="1" readingOrder="1"/>
    </xf>
    <xf numFmtId="0" fontId="6" fillId="2" borderId="4" xfId="0" applyFont="1" applyFill="1" applyBorder="1" applyAlignment="1">
      <alignment horizontal="center" wrapText="1" readingOrder="1"/>
    </xf>
    <xf numFmtId="11" fontId="7" fillId="3" borderId="4" xfId="0" applyNumberFormat="1" applyFont="1" applyFill="1" applyBorder="1" applyAlignment="1">
      <alignment horizontal="right" wrapText="1" readingOrder="1"/>
    </xf>
    <xf numFmtId="11" fontId="7" fillId="2" borderId="4" xfId="0" applyNumberFormat="1" applyFont="1" applyFill="1" applyBorder="1" applyAlignment="1">
      <alignment horizontal="right" wrapText="1" readingOrder="1"/>
    </xf>
    <xf numFmtId="0" fontId="6" fillId="2" borderId="5" xfId="0" applyFont="1" applyFill="1" applyBorder="1" applyAlignment="1">
      <alignment horizontal="center" wrapText="1" readingOrder="1"/>
    </xf>
    <xf numFmtId="11" fontId="7" fillId="3" borderId="5" xfId="0" applyNumberFormat="1" applyFont="1" applyFill="1" applyBorder="1" applyAlignment="1">
      <alignment horizontal="right" wrapText="1" readingOrder="1"/>
    </xf>
    <xf numFmtId="11" fontId="7" fillId="2" borderId="5" xfId="0" applyNumberFormat="1" applyFont="1" applyFill="1" applyBorder="1" applyAlignment="1">
      <alignment horizontal="right" wrapText="1" readingOrder="1"/>
    </xf>
    <xf numFmtId="2" fontId="3" fillId="0" borderId="0" xfId="1" applyNumberFormat="1" applyFont="1"/>
    <xf numFmtId="2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"/>
  <sheetViews>
    <sheetView tabSelected="1" workbookViewId="0">
      <selection activeCell="R1" sqref="R1:S1"/>
    </sheetView>
  </sheetViews>
  <sheetFormatPr defaultRowHeight="13.8" x14ac:dyDescent="0.25"/>
  <cols>
    <col min="1" max="1" width="9" style="2" bestFit="1" customWidth="1"/>
    <col min="2" max="2" width="7.77734375" style="2" bestFit="1" customWidth="1"/>
    <col min="3" max="3" width="10.44140625" style="2" bestFit="1" customWidth="1"/>
    <col min="4" max="4" width="10.6640625" style="2" bestFit="1" customWidth="1"/>
    <col min="5" max="5" width="9.21875" style="2" bestFit="1" customWidth="1"/>
    <col min="6" max="7" width="8.88671875" style="2"/>
    <col min="8" max="8" width="9.77734375" style="2" bestFit="1" customWidth="1"/>
    <col min="9" max="9" width="10.21875" style="2" bestFit="1" customWidth="1"/>
    <col min="10" max="12" width="7" style="2" bestFit="1" customWidth="1"/>
    <col min="13" max="13" width="11.44140625" style="2" bestFit="1" customWidth="1"/>
    <col min="14" max="14" width="7" style="2" bestFit="1" customWidth="1"/>
    <col min="15" max="15" width="8.88671875" style="2"/>
    <col min="16" max="16" width="8.44140625" style="2" bestFit="1" customWidth="1"/>
    <col min="17" max="18" width="8.88671875" style="2"/>
    <col min="19" max="19" width="7" style="2" bestFit="1" customWidth="1"/>
    <col min="20" max="20" width="7.21875" style="2" bestFit="1" customWidth="1"/>
    <col min="21" max="16384" width="8.88671875" style="2"/>
  </cols>
  <sheetData>
    <row r="1" spans="1:20" ht="40.200000000000003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3" t="s">
        <v>2</v>
      </c>
      <c r="I1" s="3" t="s">
        <v>3</v>
      </c>
      <c r="J1" s="3" t="s">
        <v>24</v>
      </c>
      <c r="K1" s="3" t="s">
        <v>25</v>
      </c>
      <c r="L1" s="3" t="s">
        <v>26</v>
      </c>
      <c r="M1" s="4" t="s">
        <v>27</v>
      </c>
      <c r="N1" s="5" t="s">
        <v>28</v>
      </c>
      <c r="P1" s="3" t="s">
        <v>2</v>
      </c>
      <c r="Q1" s="3" t="s">
        <v>3</v>
      </c>
      <c r="R1" s="4" t="s">
        <v>27</v>
      </c>
      <c r="S1" s="5" t="s">
        <v>28</v>
      </c>
      <c r="T1" s="4" t="s">
        <v>29</v>
      </c>
    </row>
    <row r="2" spans="1:20" ht="15" thickTop="1" thickBot="1" x14ac:dyDescent="0.3">
      <c r="A2" s="2">
        <v>0</v>
      </c>
      <c r="B2" s="2" t="s">
        <v>5</v>
      </c>
      <c r="C2" s="2" t="s">
        <v>6</v>
      </c>
      <c r="D2" s="2" t="s">
        <v>21</v>
      </c>
      <c r="E2" s="2">
        <v>6467180</v>
      </c>
      <c r="H2" s="6" t="s">
        <v>6</v>
      </c>
      <c r="I2" s="6" t="s">
        <v>21</v>
      </c>
      <c r="J2" s="7">
        <v>65300</v>
      </c>
      <c r="K2" s="8">
        <v>99850</v>
      </c>
      <c r="L2" s="8">
        <v>66050</v>
      </c>
      <c r="M2" s="9">
        <v>6467180</v>
      </c>
      <c r="N2" s="8">
        <v>182896</v>
      </c>
      <c r="P2" s="6" t="s">
        <v>6</v>
      </c>
      <c r="Q2" s="6" t="s">
        <v>21</v>
      </c>
      <c r="R2" s="9">
        <v>6467180</v>
      </c>
      <c r="S2" s="8">
        <v>182896</v>
      </c>
      <c r="T2" s="19">
        <f>(R2-S2)/R2*100</f>
        <v>97.171935836021262</v>
      </c>
    </row>
    <row r="3" spans="1:20" ht="14.4" thickBot="1" x14ac:dyDescent="0.3">
      <c r="A3" s="2">
        <v>0</v>
      </c>
      <c r="B3" s="2" t="s">
        <v>5</v>
      </c>
      <c r="C3" s="2" t="s">
        <v>6</v>
      </c>
      <c r="D3" s="2" t="s">
        <v>22</v>
      </c>
      <c r="E3" s="2">
        <v>2557680</v>
      </c>
      <c r="H3" s="10" t="s">
        <v>6</v>
      </c>
      <c r="I3" s="10" t="s">
        <v>22</v>
      </c>
      <c r="J3" s="11">
        <v>180</v>
      </c>
      <c r="K3" s="12">
        <v>150</v>
      </c>
      <c r="L3" s="11">
        <v>180</v>
      </c>
      <c r="M3" s="9">
        <v>2557680</v>
      </c>
      <c r="N3" s="11">
        <v>174</v>
      </c>
      <c r="P3" s="10" t="s">
        <v>6</v>
      </c>
      <c r="Q3" s="10" t="s">
        <v>22</v>
      </c>
      <c r="R3" s="9">
        <v>2557680</v>
      </c>
      <c r="S3" s="11">
        <v>174</v>
      </c>
      <c r="T3" s="19">
        <f t="shared" ref="T3:T46" si="0">(R3-S3)/R3*100</f>
        <v>99.993196959744765</v>
      </c>
    </row>
    <row r="4" spans="1:20" x14ac:dyDescent="0.25">
      <c r="A4" s="2">
        <v>0</v>
      </c>
      <c r="B4" s="2" t="s">
        <v>5</v>
      </c>
      <c r="C4" s="2" t="s">
        <v>6</v>
      </c>
      <c r="D4" s="2" t="s">
        <v>23</v>
      </c>
      <c r="E4" s="2">
        <v>3947690</v>
      </c>
      <c r="H4" s="13" t="s">
        <v>6</v>
      </c>
      <c r="I4" s="13" t="s">
        <v>23</v>
      </c>
      <c r="J4" s="14">
        <v>0</v>
      </c>
      <c r="K4" s="15">
        <v>580</v>
      </c>
      <c r="L4" s="14">
        <v>0</v>
      </c>
      <c r="M4" s="9">
        <v>3947690</v>
      </c>
      <c r="N4" s="14">
        <v>0</v>
      </c>
      <c r="P4" s="13" t="s">
        <v>6</v>
      </c>
      <c r="Q4" s="13" t="s">
        <v>23</v>
      </c>
      <c r="R4" s="9">
        <v>3947690</v>
      </c>
      <c r="S4" s="14">
        <v>0</v>
      </c>
      <c r="T4" s="19">
        <f t="shared" si="0"/>
        <v>100</v>
      </c>
    </row>
    <row r="5" spans="1:20" ht="14.4" thickBot="1" x14ac:dyDescent="0.3">
      <c r="A5" s="2">
        <v>0</v>
      </c>
      <c r="B5" s="2" t="s">
        <v>5</v>
      </c>
      <c r="C5" s="2" t="s">
        <v>7</v>
      </c>
      <c r="D5" s="2" t="s">
        <v>21</v>
      </c>
      <c r="E5" s="2">
        <v>329730</v>
      </c>
      <c r="H5" s="16" t="s">
        <v>7</v>
      </c>
      <c r="I5" s="16" t="s">
        <v>21</v>
      </c>
      <c r="J5" s="17">
        <v>48850</v>
      </c>
      <c r="K5" s="18">
        <v>94930</v>
      </c>
      <c r="L5" s="17">
        <v>48850</v>
      </c>
      <c r="M5" s="9">
        <v>329730</v>
      </c>
      <c r="N5" s="18">
        <v>133540</v>
      </c>
      <c r="P5" s="16" t="s">
        <v>7</v>
      </c>
      <c r="Q5" s="16" t="s">
        <v>21</v>
      </c>
      <c r="R5" s="9">
        <v>329730</v>
      </c>
      <c r="S5" s="18">
        <v>133540</v>
      </c>
      <c r="T5" s="19">
        <f t="shared" si="0"/>
        <v>59.500197130985953</v>
      </c>
    </row>
    <row r="6" spans="1:20" ht="14.4" thickBot="1" x14ac:dyDescent="0.3">
      <c r="A6" s="2">
        <v>0</v>
      </c>
      <c r="B6" s="2" t="s">
        <v>5</v>
      </c>
      <c r="C6" s="2" t="s">
        <v>7</v>
      </c>
      <c r="D6" s="2" t="s">
        <v>22</v>
      </c>
      <c r="E6" s="2">
        <v>250440</v>
      </c>
      <c r="H6" s="10" t="s">
        <v>7</v>
      </c>
      <c r="I6" s="10" t="s">
        <v>22</v>
      </c>
      <c r="J6" s="12">
        <v>1860</v>
      </c>
      <c r="K6" s="12">
        <v>1860</v>
      </c>
      <c r="L6" s="12">
        <v>1860</v>
      </c>
      <c r="M6" s="9">
        <v>250440</v>
      </c>
      <c r="N6" s="12">
        <v>1860</v>
      </c>
      <c r="P6" s="10" t="s">
        <v>7</v>
      </c>
      <c r="Q6" s="10" t="s">
        <v>22</v>
      </c>
      <c r="R6" s="9">
        <v>250440</v>
      </c>
      <c r="S6" s="12">
        <v>1860</v>
      </c>
      <c r="T6" s="19">
        <f t="shared" si="0"/>
        <v>99.257307139434587</v>
      </c>
    </row>
    <row r="7" spans="1:20" x14ac:dyDescent="0.25">
      <c r="A7" s="2">
        <v>0</v>
      </c>
      <c r="B7" s="2" t="s">
        <v>5</v>
      </c>
      <c r="C7" s="2" t="s">
        <v>7</v>
      </c>
      <c r="D7" s="2" t="s">
        <v>23</v>
      </c>
      <c r="E7" s="2">
        <v>229200</v>
      </c>
      <c r="H7" s="13" t="s">
        <v>7</v>
      </c>
      <c r="I7" s="13" t="s">
        <v>23</v>
      </c>
      <c r="J7" s="14">
        <v>0</v>
      </c>
      <c r="K7" s="15">
        <v>450</v>
      </c>
      <c r="L7" s="14">
        <v>0</v>
      </c>
      <c r="M7" s="9">
        <v>229200</v>
      </c>
      <c r="N7" s="14">
        <v>0</v>
      </c>
      <c r="P7" s="13" t="s">
        <v>7</v>
      </c>
      <c r="Q7" s="13" t="s">
        <v>23</v>
      </c>
      <c r="R7" s="9">
        <v>229200</v>
      </c>
      <c r="S7" s="14">
        <v>0</v>
      </c>
      <c r="T7" s="19">
        <f t="shared" si="0"/>
        <v>100</v>
      </c>
    </row>
    <row r="8" spans="1:20" ht="14.4" thickBot="1" x14ac:dyDescent="0.3">
      <c r="A8" s="2">
        <v>0</v>
      </c>
      <c r="B8" s="2" t="s">
        <v>5</v>
      </c>
      <c r="C8" s="2" t="s">
        <v>8</v>
      </c>
      <c r="D8" s="2" t="s">
        <v>21</v>
      </c>
      <c r="E8" s="2">
        <v>751950</v>
      </c>
      <c r="H8" s="16" t="s">
        <v>8</v>
      </c>
      <c r="I8" s="16" t="s">
        <v>21</v>
      </c>
      <c r="J8" s="18">
        <v>42350</v>
      </c>
      <c r="K8" s="17">
        <v>39740</v>
      </c>
      <c r="L8" s="18">
        <v>42650</v>
      </c>
      <c r="M8" s="9">
        <v>751950</v>
      </c>
      <c r="N8" s="18">
        <v>113120</v>
      </c>
      <c r="P8" s="16" t="s">
        <v>8</v>
      </c>
      <c r="Q8" s="16" t="s">
        <v>21</v>
      </c>
      <c r="R8" s="9">
        <v>751950</v>
      </c>
      <c r="S8" s="18">
        <v>113120</v>
      </c>
      <c r="T8" s="19">
        <f t="shared" si="0"/>
        <v>84.956446572245497</v>
      </c>
    </row>
    <row r="9" spans="1:20" ht="14.4" thickBot="1" x14ac:dyDescent="0.3">
      <c r="A9" s="2">
        <v>0</v>
      </c>
      <c r="B9" s="2" t="s">
        <v>5</v>
      </c>
      <c r="C9" s="2" t="s">
        <v>8</v>
      </c>
      <c r="D9" s="2" t="s">
        <v>22</v>
      </c>
      <c r="E9" s="2">
        <v>829870</v>
      </c>
      <c r="H9" s="10" t="s">
        <v>8</v>
      </c>
      <c r="I9" s="10" t="s">
        <v>22</v>
      </c>
      <c r="J9" s="11">
        <v>4930</v>
      </c>
      <c r="K9" s="11">
        <v>5800</v>
      </c>
      <c r="L9" s="11">
        <v>5848</v>
      </c>
      <c r="M9" s="9">
        <v>829870</v>
      </c>
      <c r="N9" s="12">
        <v>4896</v>
      </c>
      <c r="P9" s="10" t="s">
        <v>8</v>
      </c>
      <c r="Q9" s="10" t="s">
        <v>22</v>
      </c>
      <c r="R9" s="9">
        <v>829870</v>
      </c>
      <c r="S9" s="12">
        <v>4896</v>
      </c>
      <c r="T9" s="19">
        <f t="shared" si="0"/>
        <v>99.4100280766867</v>
      </c>
    </row>
    <row r="10" spans="1:20" x14ac:dyDescent="0.25">
      <c r="A10" s="2">
        <v>0</v>
      </c>
      <c r="B10" s="2" t="s">
        <v>5</v>
      </c>
      <c r="C10" s="2" t="s">
        <v>8</v>
      </c>
      <c r="D10" s="2" t="s">
        <v>23</v>
      </c>
      <c r="E10" s="2">
        <v>900570</v>
      </c>
      <c r="H10" s="13" t="s">
        <v>8</v>
      </c>
      <c r="I10" s="13" t="s">
        <v>23</v>
      </c>
      <c r="J10" s="14">
        <v>3120</v>
      </c>
      <c r="K10" s="15">
        <v>12110</v>
      </c>
      <c r="L10" s="15">
        <v>5000</v>
      </c>
      <c r="M10" s="9">
        <v>900570</v>
      </c>
      <c r="N10" s="15">
        <v>3720</v>
      </c>
      <c r="P10" s="13" t="s">
        <v>8</v>
      </c>
      <c r="Q10" s="13" t="s">
        <v>23</v>
      </c>
      <c r="R10" s="9">
        <v>900570</v>
      </c>
      <c r="S10" s="15">
        <v>3720</v>
      </c>
      <c r="T10" s="19">
        <f t="shared" si="0"/>
        <v>99.586928278756787</v>
      </c>
    </row>
    <row r="11" spans="1:20" ht="14.4" thickBot="1" x14ac:dyDescent="0.3">
      <c r="A11" s="2">
        <v>0</v>
      </c>
      <c r="B11" s="2" t="s">
        <v>5</v>
      </c>
      <c r="C11" s="2" t="s">
        <v>9</v>
      </c>
      <c r="D11" s="2" t="s">
        <v>21</v>
      </c>
      <c r="E11" s="2">
        <v>602140</v>
      </c>
      <c r="H11" s="16" t="s">
        <v>9</v>
      </c>
      <c r="I11" s="16" t="s">
        <v>21</v>
      </c>
      <c r="J11" s="17">
        <v>40740</v>
      </c>
      <c r="K11" s="18">
        <v>47260</v>
      </c>
      <c r="L11" s="18">
        <v>41040</v>
      </c>
      <c r="M11" s="9">
        <v>602140</v>
      </c>
      <c r="N11" s="18">
        <v>97966</v>
      </c>
      <c r="P11" s="16" t="s">
        <v>9</v>
      </c>
      <c r="Q11" s="16" t="s">
        <v>21</v>
      </c>
      <c r="R11" s="9">
        <v>602140</v>
      </c>
      <c r="S11" s="18">
        <v>97966</v>
      </c>
      <c r="T11" s="19">
        <f t="shared" si="0"/>
        <v>83.730361709901345</v>
      </c>
    </row>
    <row r="12" spans="1:20" ht="14.4" thickBot="1" x14ac:dyDescent="0.3">
      <c r="A12" s="2">
        <v>0</v>
      </c>
      <c r="B12" s="2" t="s">
        <v>5</v>
      </c>
      <c r="C12" s="2" t="s">
        <v>9</v>
      </c>
      <c r="D12" s="2" t="s">
        <v>22</v>
      </c>
      <c r="E12" s="2">
        <v>667720</v>
      </c>
      <c r="H12" s="10" t="s">
        <v>9</v>
      </c>
      <c r="I12" s="10" t="s">
        <v>22</v>
      </c>
      <c r="J12" s="11">
        <v>510</v>
      </c>
      <c r="K12" s="12">
        <v>0</v>
      </c>
      <c r="L12" s="11">
        <v>480</v>
      </c>
      <c r="M12" s="9">
        <v>667720</v>
      </c>
      <c r="N12" s="11">
        <v>306</v>
      </c>
      <c r="P12" s="10" t="s">
        <v>9</v>
      </c>
      <c r="Q12" s="10" t="s">
        <v>22</v>
      </c>
      <c r="R12" s="9">
        <v>667720</v>
      </c>
      <c r="S12" s="11">
        <v>306</v>
      </c>
      <c r="T12" s="19">
        <f t="shared" si="0"/>
        <v>99.954172407596005</v>
      </c>
    </row>
    <row r="13" spans="1:20" x14ac:dyDescent="0.25">
      <c r="A13" s="2">
        <v>0</v>
      </c>
      <c r="B13" s="2" t="s">
        <v>5</v>
      </c>
      <c r="C13" s="2" t="s">
        <v>9</v>
      </c>
      <c r="D13" s="2" t="s">
        <v>23</v>
      </c>
      <c r="E13" s="2">
        <v>806920</v>
      </c>
      <c r="H13" s="13" t="s">
        <v>9</v>
      </c>
      <c r="I13" s="13" t="s">
        <v>23</v>
      </c>
      <c r="J13" s="15">
        <v>60</v>
      </c>
      <c r="K13" s="14">
        <v>0</v>
      </c>
      <c r="L13" s="15">
        <v>60</v>
      </c>
      <c r="M13" s="9">
        <v>806920</v>
      </c>
      <c r="N13" s="14">
        <v>0</v>
      </c>
      <c r="P13" s="13" t="s">
        <v>9</v>
      </c>
      <c r="Q13" s="13" t="s">
        <v>23</v>
      </c>
      <c r="R13" s="9">
        <v>806920</v>
      </c>
      <c r="S13" s="14">
        <v>0</v>
      </c>
      <c r="T13" s="19">
        <f t="shared" si="0"/>
        <v>100</v>
      </c>
    </row>
    <row r="14" spans="1:20" ht="14.4" thickBot="1" x14ac:dyDescent="0.3">
      <c r="A14" s="2">
        <v>0</v>
      </c>
      <c r="B14" s="2" t="s">
        <v>5</v>
      </c>
      <c r="C14" s="2" t="s">
        <v>10</v>
      </c>
      <c r="D14" s="2" t="s">
        <v>21</v>
      </c>
      <c r="E14" s="2">
        <v>1366590</v>
      </c>
      <c r="H14" s="16" t="s">
        <v>10</v>
      </c>
      <c r="I14" s="16" t="s">
        <v>21</v>
      </c>
      <c r="J14" s="17">
        <v>46150</v>
      </c>
      <c r="K14" s="18">
        <v>120770</v>
      </c>
      <c r="L14" s="18">
        <v>46630</v>
      </c>
      <c r="M14" s="9">
        <v>1366590</v>
      </c>
      <c r="N14" s="18">
        <v>259848</v>
      </c>
      <c r="P14" s="16" t="s">
        <v>10</v>
      </c>
      <c r="Q14" s="16" t="s">
        <v>21</v>
      </c>
      <c r="R14" s="9">
        <v>1366590</v>
      </c>
      <c r="S14" s="18">
        <v>259848</v>
      </c>
      <c r="T14" s="19">
        <f t="shared" si="0"/>
        <v>80.985665049502771</v>
      </c>
    </row>
    <row r="15" spans="1:20" ht="14.4" thickBot="1" x14ac:dyDescent="0.3">
      <c r="A15" s="2">
        <v>0</v>
      </c>
      <c r="B15" s="2" t="s">
        <v>5</v>
      </c>
      <c r="C15" s="2" t="s">
        <v>10</v>
      </c>
      <c r="D15" s="2" t="s">
        <v>22</v>
      </c>
      <c r="E15" s="2">
        <v>687180</v>
      </c>
      <c r="H15" s="10" t="s">
        <v>10</v>
      </c>
      <c r="I15" s="10" t="s">
        <v>22</v>
      </c>
      <c r="J15" s="12">
        <v>7100</v>
      </c>
      <c r="K15" s="12">
        <v>7100</v>
      </c>
      <c r="L15" s="12">
        <v>7100</v>
      </c>
      <c r="M15" s="9">
        <v>687180</v>
      </c>
      <c r="N15" s="12">
        <v>7100</v>
      </c>
      <c r="P15" s="10" t="s">
        <v>10</v>
      </c>
      <c r="Q15" s="10" t="s">
        <v>22</v>
      </c>
      <c r="R15" s="9">
        <v>687180</v>
      </c>
      <c r="S15" s="12">
        <v>7100</v>
      </c>
      <c r="T15" s="19">
        <f t="shared" si="0"/>
        <v>98.966791815827008</v>
      </c>
    </row>
    <row r="16" spans="1:20" x14ac:dyDescent="0.25">
      <c r="A16" s="2">
        <v>0</v>
      </c>
      <c r="B16" s="2" t="s">
        <v>5</v>
      </c>
      <c r="C16" s="2" t="s">
        <v>10</v>
      </c>
      <c r="D16" s="2" t="s">
        <v>23</v>
      </c>
      <c r="E16" s="2">
        <v>631880</v>
      </c>
      <c r="H16" s="13" t="s">
        <v>10</v>
      </c>
      <c r="I16" s="13" t="s">
        <v>23</v>
      </c>
      <c r="J16" s="14">
        <v>0</v>
      </c>
      <c r="K16" s="14">
        <v>0</v>
      </c>
      <c r="L16" s="14">
        <v>0</v>
      </c>
      <c r="M16" s="9">
        <v>631880</v>
      </c>
      <c r="N16" s="14">
        <v>0</v>
      </c>
      <c r="P16" s="13" t="s">
        <v>10</v>
      </c>
      <c r="Q16" s="13" t="s">
        <v>23</v>
      </c>
      <c r="R16" s="9">
        <v>631880</v>
      </c>
      <c r="S16" s="14">
        <v>0</v>
      </c>
      <c r="T16" s="19">
        <f t="shared" si="0"/>
        <v>100</v>
      </c>
    </row>
    <row r="17" spans="1:20" ht="14.4" thickBot="1" x14ac:dyDescent="0.3">
      <c r="A17" s="2">
        <v>0</v>
      </c>
      <c r="B17" s="2" t="s">
        <v>5</v>
      </c>
      <c r="C17" s="2" t="s">
        <v>11</v>
      </c>
      <c r="D17" s="2" t="s">
        <v>21</v>
      </c>
      <c r="E17" s="2">
        <v>5061340</v>
      </c>
      <c r="H17" s="16" t="s">
        <v>11</v>
      </c>
      <c r="I17" s="16" t="s">
        <v>21</v>
      </c>
      <c r="J17" s="17">
        <v>58360</v>
      </c>
      <c r="K17" s="18">
        <v>16750</v>
      </c>
      <c r="L17" s="18">
        <v>58650</v>
      </c>
      <c r="M17" s="9">
        <v>5061340</v>
      </c>
      <c r="N17" s="18">
        <v>188600</v>
      </c>
      <c r="P17" s="16" t="s">
        <v>11</v>
      </c>
      <c r="Q17" s="16" t="s">
        <v>21</v>
      </c>
      <c r="R17" s="9">
        <v>5061340</v>
      </c>
      <c r="S17" s="18">
        <v>188600</v>
      </c>
      <c r="T17" s="19">
        <f t="shared" si="0"/>
        <v>96.27371407571907</v>
      </c>
    </row>
    <row r="18" spans="1:20" ht="14.4" thickBot="1" x14ac:dyDescent="0.3">
      <c r="A18" s="2">
        <v>0</v>
      </c>
      <c r="B18" s="2" t="s">
        <v>5</v>
      </c>
      <c r="C18" s="2" t="s">
        <v>11</v>
      </c>
      <c r="D18" s="2" t="s">
        <v>22</v>
      </c>
      <c r="E18" s="2">
        <v>5467090</v>
      </c>
      <c r="H18" s="10" t="s">
        <v>11</v>
      </c>
      <c r="I18" s="10" t="s">
        <v>22</v>
      </c>
      <c r="J18" s="11">
        <v>510</v>
      </c>
      <c r="K18" s="12">
        <v>360</v>
      </c>
      <c r="L18" s="11">
        <v>510</v>
      </c>
      <c r="M18" s="9">
        <v>5467090</v>
      </c>
      <c r="N18" s="11">
        <v>556</v>
      </c>
      <c r="P18" s="10" t="s">
        <v>11</v>
      </c>
      <c r="Q18" s="10" t="s">
        <v>22</v>
      </c>
      <c r="R18" s="9">
        <v>5467090</v>
      </c>
      <c r="S18" s="11">
        <v>556</v>
      </c>
      <c r="T18" s="19">
        <f t="shared" si="0"/>
        <v>99.989830055843228</v>
      </c>
    </row>
    <row r="19" spans="1:20" x14ac:dyDescent="0.25">
      <c r="A19" s="2">
        <v>0</v>
      </c>
      <c r="B19" s="2" t="s">
        <v>5</v>
      </c>
      <c r="C19" s="2" t="s">
        <v>11</v>
      </c>
      <c r="D19" s="2" t="s">
        <v>23</v>
      </c>
      <c r="E19" s="2">
        <v>4608010</v>
      </c>
      <c r="H19" s="13" t="s">
        <v>11</v>
      </c>
      <c r="I19" s="13" t="s">
        <v>23</v>
      </c>
      <c r="J19" s="14">
        <v>0</v>
      </c>
      <c r="K19" s="14">
        <v>0</v>
      </c>
      <c r="L19" s="14">
        <v>0</v>
      </c>
      <c r="M19" s="9">
        <v>4608010</v>
      </c>
      <c r="N19" s="14">
        <v>0</v>
      </c>
      <c r="P19" s="13" t="s">
        <v>11</v>
      </c>
      <c r="Q19" s="13" t="s">
        <v>23</v>
      </c>
      <c r="R19" s="9">
        <v>4608010</v>
      </c>
      <c r="S19" s="14">
        <v>0</v>
      </c>
      <c r="T19" s="19">
        <f t="shared" si="0"/>
        <v>100</v>
      </c>
    </row>
    <row r="20" spans="1:20" ht="14.4" thickBot="1" x14ac:dyDescent="0.3">
      <c r="A20" s="2">
        <v>0</v>
      </c>
      <c r="B20" s="2" t="s">
        <v>5</v>
      </c>
      <c r="C20" s="2" t="s">
        <v>12</v>
      </c>
      <c r="D20" s="2" t="s">
        <v>21</v>
      </c>
      <c r="E20" s="2">
        <v>996570</v>
      </c>
      <c r="H20" s="16" t="s">
        <v>12</v>
      </c>
      <c r="I20" s="16" t="s">
        <v>21</v>
      </c>
      <c r="J20" s="18">
        <v>49680</v>
      </c>
      <c r="K20" s="17">
        <v>49110</v>
      </c>
      <c r="L20" s="18">
        <v>49680</v>
      </c>
      <c r="M20" s="9">
        <v>996570</v>
      </c>
      <c r="N20" s="18">
        <v>103160</v>
      </c>
      <c r="P20" s="16" t="s">
        <v>12</v>
      </c>
      <c r="Q20" s="16" t="s">
        <v>21</v>
      </c>
      <c r="R20" s="9">
        <v>996570</v>
      </c>
      <c r="S20" s="18">
        <v>103160</v>
      </c>
      <c r="T20" s="19">
        <f t="shared" si="0"/>
        <v>89.648494335571002</v>
      </c>
    </row>
    <row r="21" spans="1:20" ht="14.4" thickBot="1" x14ac:dyDescent="0.3">
      <c r="A21" s="2">
        <v>0</v>
      </c>
      <c r="B21" s="2" t="s">
        <v>5</v>
      </c>
      <c r="C21" s="2" t="s">
        <v>12</v>
      </c>
      <c r="D21" s="2" t="s">
        <v>22</v>
      </c>
      <c r="E21" s="2">
        <v>696670</v>
      </c>
      <c r="H21" s="10" t="s">
        <v>12</v>
      </c>
      <c r="I21" s="10" t="s">
        <v>22</v>
      </c>
      <c r="J21" s="11">
        <v>320</v>
      </c>
      <c r="K21" s="12">
        <v>270</v>
      </c>
      <c r="L21" s="11">
        <v>320</v>
      </c>
      <c r="M21" s="9">
        <v>696670</v>
      </c>
      <c r="N21" s="11">
        <v>320</v>
      </c>
      <c r="P21" s="10" t="s">
        <v>12</v>
      </c>
      <c r="Q21" s="10" t="s">
        <v>22</v>
      </c>
      <c r="R21" s="9">
        <v>696670</v>
      </c>
      <c r="S21" s="11">
        <v>320</v>
      </c>
      <c r="T21" s="19">
        <f t="shared" si="0"/>
        <v>99.954067205420074</v>
      </c>
    </row>
    <row r="22" spans="1:20" x14ac:dyDescent="0.25">
      <c r="A22" s="2">
        <v>0</v>
      </c>
      <c r="B22" s="2" t="s">
        <v>5</v>
      </c>
      <c r="C22" s="2" t="s">
        <v>12</v>
      </c>
      <c r="D22" s="2" t="s">
        <v>23</v>
      </c>
      <c r="E22" s="2">
        <v>949830</v>
      </c>
      <c r="H22" s="13" t="s">
        <v>12</v>
      </c>
      <c r="I22" s="13" t="s">
        <v>23</v>
      </c>
      <c r="J22" s="14">
        <v>0</v>
      </c>
      <c r="K22" s="15">
        <v>940</v>
      </c>
      <c r="L22" s="15">
        <v>460</v>
      </c>
      <c r="M22" s="9">
        <v>949830</v>
      </c>
      <c r="N22" s="14">
        <v>0</v>
      </c>
      <c r="P22" s="13" t="s">
        <v>12</v>
      </c>
      <c r="Q22" s="13" t="s">
        <v>23</v>
      </c>
      <c r="R22" s="9">
        <v>949830</v>
      </c>
      <c r="S22" s="14">
        <v>0</v>
      </c>
      <c r="T22" s="19">
        <f t="shared" si="0"/>
        <v>100</v>
      </c>
    </row>
    <row r="23" spans="1:20" ht="14.4" thickBot="1" x14ac:dyDescent="0.3">
      <c r="A23" s="2">
        <v>0</v>
      </c>
      <c r="B23" s="2" t="s">
        <v>5</v>
      </c>
      <c r="C23" s="2" t="s">
        <v>13</v>
      </c>
      <c r="D23" s="2" t="s">
        <v>21</v>
      </c>
      <c r="E23" s="2">
        <v>1952400</v>
      </c>
      <c r="H23" s="16" t="s">
        <v>13</v>
      </c>
      <c r="I23" s="16" t="s">
        <v>21</v>
      </c>
      <c r="J23" s="17">
        <v>40730</v>
      </c>
      <c r="K23" s="18">
        <v>96440</v>
      </c>
      <c r="L23" s="17">
        <v>40730</v>
      </c>
      <c r="M23" s="9">
        <v>1952400</v>
      </c>
      <c r="N23" s="18">
        <v>304076</v>
      </c>
      <c r="P23" s="16" t="s">
        <v>13</v>
      </c>
      <c r="Q23" s="16" t="s">
        <v>21</v>
      </c>
      <c r="R23" s="9">
        <v>1952400</v>
      </c>
      <c r="S23" s="18">
        <v>304076</v>
      </c>
      <c r="T23" s="19">
        <f t="shared" si="0"/>
        <v>84.425527555828722</v>
      </c>
    </row>
    <row r="24" spans="1:20" ht="14.4" thickBot="1" x14ac:dyDescent="0.3">
      <c r="A24" s="2">
        <v>0</v>
      </c>
      <c r="B24" s="2" t="s">
        <v>5</v>
      </c>
      <c r="C24" s="2" t="s">
        <v>13</v>
      </c>
      <c r="D24" s="2" t="s">
        <v>22</v>
      </c>
      <c r="E24" s="2">
        <v>1754920</v>
      </c>
      <c r="H24" s="10" t="s">
        <v>13</v>
      </c>
      <c r="I24" s="10" t="s">
        <v>22</v>
      </c>
      <c r="J24" s="11">
        <v>20</v>
      </c>
      <c r="K24" s="11">
        <v>20</v>
      </c>
      <c r="L24" s="11">
        <v>20</v>
      </c>
      <c r="M24" s="9">
        <v>1754920</v>
      </c>
      <c r="N24" s="12">
        <v>16</v>
      </c>
      <c r="P24" s="10" t="s">
        <v>13</v>
      </c>
      <c r="Q24" s="10" t="s">
        <v>22</v>
      </c>
      <c r="R24" s="9">
        <v>1754920</v>
      </c>
      <c r="S24" s="12">
        <v>16</v>
      </c>
      <c r="T24" s="19">
        <f t="shared" si="0"/>
        <v>99.99908827752833</v>
      </c>
    </row>
    <row r="25" spans="1:20" x14ac:dyDescent="0.25">
      <c r="A25" s="2">
        <v>0</v>
      </c>
      <c r="B25" s="2" t="s">
        <v>5</v>
      </c>
      <c r="C25" s="2" t="s">
        <v>13</v>
      </c>
      <c r="D25" s="2" t="s">
        <v>23</v>
      </c>
      <c r="E25" s="2">
        <v>1643660</v>
      </c>
      <c r="H25" s="13" t="s">
        <v>13</v>
      </c>
      <c r="I25" s="13" t="s">
        <v>23</v>
      </c>
      <c r="J25" s="15">
        <v>2190</v>
      </c>
      <c r="K25" s="15">
        <v>1370</v>
      </c>
      <c r="L25" s="15">
        <v>2240</v>
      </c>
      <c r="M25" s="9">
        <v>1643660</v>
      </c>
      <c r="N25" s="14">
        <v>600</v>
      </c>
      <c r="P25" s="13" t="s">
        <v>13</v>
      </c>
      <c r="Q25" s="13" t="s">
        <v>23</v>
      </c>
      <c r="R25" s="9">
        <v>1643660</v>
      </c>
      <c r="S25" s="14">
        <v>600</v>
      </c>
      <c r="T25" s="19">
        <f t="shared" si="0"/>
        <v>99.963496100166708</v>
      </c>
    </row>
    <row r="26" spans="1:20" ht="14.4" thickBot="1" x14ac:dyDescent="0.3">
      <c r="A26" s="2">
        <v>0</v>
      </c>
      <c r="B26" s="2" t="s">
        <v>5</v>
      </c>
      <c r="C26" s="2" t="s">
        <v>14</v>
      </c>
      <c r="D26" s="2" t="s">
        <v>21</v>
      </c>
      <c r="E26" s="2">
        <v>1385350</v>
      </c>
      <c r="H26" s="16" t="s">
        <v>14</v>
      </c>
      <c r="I26" s="16" t="s">
        <v>21</v>
      </c>
      <c r="J26" s="17">
        <v>43660</v>
      </c>
      <c r="K26" s="18">
        <v>160550</v>
      </c>
      <c r="L26" s="18">
        <v>43860</v>
      </c>
      <c r="M26" s="9">
        <v>1385350</v>
      </c>
      <c r="N26" s="18">
        <v>168080</v>
      </c>
      <c r="P26" s="16" t="s">
        <v>14</v>
      </c>
      <c r="Q26" s="16" t="s">
        <v>21</v>
      </c>
      <c r="R26" s="9">
        <v>1385350</v>
      </c>
      <c r="S26" s="18">
        <v>168080</v>
      </c>
      <c r="T26" s="19">
        <f t="shared" si="0"/>
        <v>87.867325946511713</v>
      </c>
    </row>
    <row r="27" spans="1:20" ht="14.4" thickBot="1" x14ac:dyDescent="0.3">
      <c r="A27" s="2">
        <v>0</v>
      </c>
      <c r="B27" s="2" t="s">
        <v>5</v>
      </c>
      <c r="C27" s="2" t="s">
        <v>14</v>
      </c>
      <c r="D27" s="2" t="s">
        <v>22</v>
      </c>
      <c r="E27" s="2">
        <v>1444450</v>
      </c>
      <c r="H27" s="10" t="s">
        <v>14</v>
      </c>
      <c r="I27" s="10" t="s">
        <v>22</v>
      </c>
      <c r="J27" s="11">
        <v>21100</v>
      </c>
      <c r="K27" s="11">
        <v>21100</v>
      </c>
      <c r="L27" s="11">
        <v>21100</v>
      </c>
      <c r="M27" s="9">
        <v>1444450</v>
      </c>
      <c r="N27" s="12">
        <v>4950</v>
      </c>
      <c r="P27" s="10" t="s">
        <v>14</v>
      </c>
      <c r="Q27" s="10" t="s">
        <v>22</v>
      </c>
      <c r="R27" s="9">
        <v>1444450</v>
      </c>
      <c r="S27" s="12">
        <v>4950</v>
      </c>
      <c r="T27" s="19">
        <f t="shared" si="0"/>
        <v>99.657309010349962</v>
      </c>
    </row>
    <row r="28" spans="1:20" x14ac:dyDescent="0.25">
      <c r="A28" s="2">
        <v>0</v>
      </c>
      <c r="B28" s="2" t="s">
        <v>5</v>
      </c>
      <c r="C28" s="2" t="s">
        <v>14</v>
      </c>
      <c r="D28" s="2" t="s">
        <v>23</v>
      </c>
      <c r="E28" s="2">
        <v>1509420</v>
      </c>
      <c r="H28" s="13" t="s">
        <v>14</v>
      </c>
      <c r="I28" s="13" t="s">
        <v>23</v>
      </c>
      <c r="J28" s="14">
        <v>0</v>
      </c>
      <c r="K28" s="14">
        <v>0</v>
      </c>
      <c r="L28" s="14">
        <v>0</v>
      </c>
      <c r="M28" s="9">
        <v>1509420</v>
      </c>
      <c r="N28" s="14">
        <v>0</v>
      </c>
      <c r="P28" s="13" t="s">
        <v>14</v>
      </c>
      <c r="Q28" s="13" t="s">
        <v>23</v>
      </c>
      <c r="R28" s="9">
        <v>1509420</v>
      </c>
      <c r="S28" s="14">
        <v>0</v>
      </c>
      <c r="T28" s="19">
        <f t="shared" si="0"/>
        <v>100</v>
      </c>
    </row>
    <row r="29" spans="1:20" ht="14.4" thickBot="1" x14ac:dyDescent="0.3">
      <c r="A29" s="2">
        <v>0</v>
      </c>
      <c r="B29" s="2" t="s">
        <v>5</v>
      </c>
      <c r="C29" s="2" t="s">
        <v>15</v>
      </c>
      <c r="D29" s="2" t="s">
        <v>21</v>
      </c>
      <c r="E29" s="2">
        <v>601320</v>
      </c>
      <c r="H29" s="16" t="s">
        <v>15</v>
      </c>
      <c r="I29" s="16" t="s">
        <v>21</v>
      </c>
      <c r="J29" s="17">
        <v>50300</v>
      </c>
      <c r="K29" s="18">
        <v>153190</v>
      </c>
      <c r="L29" s="18">
        <v>50450</v>
      </c>
      <c r="M29" s="9">
        <v>601320</v>
      </c>
      <c r="N29" s="18">
        <v>199928</v>
      </c>
      <c r="P29" s="16" t="s">
        <v>15</v>
      </c>
      <c r="Q29" s="16" t="s">
        <v>21</v>
      </c>
      <c r="R29" s="9">
        <v>601320</v>
      </c>
      <c r="S29" s="18">
        <v>199928</v>
      </c>
      <c r="T29" s="19">
        <f t="shared" si="0"/>
        <v>66.751812678773376</v>
      </c>
    </row>
    <row r="30" spans="1:20" ht="14.4" thickBot="1" x14ac:dyDescent="0.3">
      <c r="A30" s="2">
        <v>0</v>
      </c>
      <c r="B30" s="2" t="s">
        <v>5</v>
      </c>
      <c r="C30" s="2" t="s">
        <v>15</v>
      </c>
      <c r="D30" s="2" t="s">
        <v>22</v>
      </c>
      <c r="E30" s="2">
        <v>478700</v>
      </c>
      <c r="H30" s="10" t="s">
        <v>15</v>
      </c>
      <c r="I30" s="10" t="s">
        <v>22</v>
      </c>
      <c r="J30" s="12">
        <v>530</v>
      </c>
      <c r="K30" s="12">
        <v>530</v>
      </c>
      <c r="L30" s="12">
        <v>530</v>
      </c>
      <c r="M30" s="9">
        <v>478700</v>
      </c>
      <c r="N30" s="12">
        <v>530</v>
      </c>
      <c r="P30" s="10" t="s">
        <v>15</v>
      </c>
      <c r="Q30" s="10" t="s">
        <v>22</v>
      </c>
      <c r="R30" s="9">
        <v>478700</v>
      </c>
      <c r="S30" s="12">
        <v>530</v>
      </c>
      <c r="T30" s="19">
        <f t="shared" si="0"/>
        <v>99.889283476081047</v>
      </c>
    </row>
    <row r="31" spans="1:20" x14ac:dyDescent="0.25">
      <c r="A31" s="2">
        <v>0</v>
      </c>
      <c r="B31" s="2" t="s">
        <v>5</v>
      </c>
      <c r="C31" s="2" t="s">
        <v>15</v>
      </c>
      <c r="D31" s="2" t="s">
        <v>23</v>
      </c>
      <c r="E31" s="2">
        <v>1088750</v>
      </c>
      <c r="H31" s="13" t="s">
        <v>15</v>
      </c>
      <c r="I31" s="13" t="s">
        <v>23</v>
      </c>
      <c r="J31" s="14">
        <v>0</v>
      </c>
      <c r="K31" s="14">
        <v>0</v>
      </c>
      <c r="L31" s="14">
        <v>0</v>
      </c>
      <c r="M31" s="9">
        <v>1088750</v>
      </c>
      <c r="N31" s="14">
        <v>0</v>
      </c>
      <c r="P31" s="13" t="s">
        <v>15</v>
      </c>
      <c r="Q31" s="13" t="s">
        <v>23</v>
      </c>
      <c r="R31" s="9">
        <v>1088750</v>
      </c>
      <c r="S31" s="14">
        <v>0</v>
      </c>
      <c r="T31" s="19">
        <f t="shared" si="0"/>
        <v>100</v>
      </c>
    </row>
    <row r="32" spans="1:20" ht="14.4" thickBot="1" x14ac:dyDescent="0.3">
      <c r="A32" s="2">
        <v>0</v>
      </c>
      <c r="B32" s="2" t="s">
        <v>5</v>
      </c>
      <c r="C32" s="2" t="s">
        <v>16</v>
      </c>
      <c r="D32" s="2" t="s">
        <v>21</v>
      </c>
      <c r="E32" s="2">
        <v>1135320</v>
      </c>
      <c r="H32" s="16" t="s">
        <v>16</v>
      </c>
      <c r="I32" s="16" t="s">
        <v>21</v>
      </c>
      <c r="J32" s="17">
        <v>51630</v>
      </c>
      <c r="K32" s="18">
        <v>79480</v>
      </c>
      <c r="L32" s="18">
        <v>52800</v>
      </c>
      <c r="M32" s="9">
        <v>1135320</v>
      </c>
      <c r="N32" s="18">
        <v>281964</v>
      </c>
      <c r="P32" s="16" t="s">
        <v>16</v>
      </c>
      <c r="Q32" s="16" t="s">
        <v>21</v>
      </c>
      <c r="R32" s="9">
        <v>1135320</v>
      </c>
      <c r="S32" s="18">
        <v>281964</v>
      </c>
      <c r="T32" s="19">
        <f t="shared" si="0"/>
        <v>75.164358947257156</v>
      </c>
    </row>
    <row r="33" spans="1:20" ht="14.4" thickBot="1" x14ac:dyDescent="0.3">
      <c r="A33" s="2">
        <v>0</v>
      </c>
      <c r="B33" s="2" t="s">
        <v>5</v>
      </c>
      <c r="C33" s="2" t="s">
        <v>16</v>
      </c>
      <c r="D33" s="2" t="s">
        <v>22</v>
      </c>
      <c r="E33" s="2">
        <v>349560</v>
      </c>
      <c r="H33" s="10" t="s">
        <v>16</v>
      </c>
      <c r="I33" s="10" t="s">
        <v>22</v>
      </c>
      <c r="J33" s="12">
        <v>100</v>
      </c>
      <c r="K33" s="12">
        <v>100</v>
      </c>
      <c r="L33" s="12">
        <v>100</v>
      </c>
      <c r="M33" s="9">
        <v>349560</v>
      </c>
      <c r="N33" s="12">
        <v>100</v>
      </c>
      <c r="P33" s="10" t="s">
        <v>16</v>
      </c>
      <c r="Q33" s="10" t="s">
        <v>22</v>
      </c>
      <c r="R33" s="9">
        <v>349560</v>
      </c>
      <c r="S33" s="12">
        <v>100</v>
      </c>
      <c r="T33" s="19">
        <f t="shared" si="0"/>
        <v>99.971392607849879</v>
      </c>
    </row>
    <row r="34" spans="1:20" x14ac:dyDescent="0.25">
      <c r="A34" s="2">
        <v>0</v>
      </c>
      <c r="B34" s="2" t="s">
        <v>5</v>
      </c>
      <c r="C34" s="2" t="s">
        <v>16</v>
      </c>
      <c r="D34" s="2" t="s">
        <v>23</v>
      </c>
      <c r="E34" s="2">
        <v>987600</v>
      </c>
      <c r="H34" s="13" t="s">
        <v>16</v>
      </c>
      <c r="I34" s="13" t="s">
        <v>23</v>
      </c>
      <c r="J34" s="14">
        <v>0</v>
      </c>
      <c r="K34" s="14">
        <v>0</v>
      </c>
      <c r="L34" s="14">
        <v>0</v>
      </c>
      <c r="M34" s="9">
        <v>987600</v>
      </c>
      <c r="N34" s="14">
        <v>0</v>
      </c>
      <c r="P34" s="13" t="s">
        <v>16</v>
      </c>
      <c r="Q34" s="13" t="s">
        <v>23</v>
      </c>
      <c r="R34" s="9">
        <v>987600</v>
      </c>
      <c r="S34" s="14">
        <v>0</v>
      </c>
      <c r="T34" s="19">
        <f t="shared" si="0"/>
        <v>100</v>
      </c>
    </row>
    <row r="35" spans="1:20" ht="14.4" thickBot="1" x14ac:dyDescent="0.3">
      <c r="A35" s="2">
        <v>0</v>
      </c>
      <c r="B35" s="2" t="s">
        <v>5</v>
      </c>
      <c r="C35" s="2" t="s">
        <v>17</v>
      </c>
      <c r="D35" s="2" t="s">
        <v>21</v>
      </c>
      <c r="E35" s="2">
        <v>1288140</v>
      </c>
      <c r="H35" s="16" t="s">
        <v>17</v>
      </c>
      <c r="I35" s="16" t="s">
        <v>21</v>
      </c>
      <c r="J35" s="17">
        <v>49680</v>
      </c>
      <c r="K35" s="18">
        <v>90450</v>
      </c>
      <c r="L35" s="18">
        <v>49840</v>
      </c>
      <c r="M35" s="9">
        <v>1288140</v>
      </c>
      <c r="N35" s="18">
        <v>88982</v>
      </c>
      <c r="P35" s="16" t="s">
        <v>17</v>
      </c>
      <c r="Q35" s="16" t="s">
        <v>21</v>
      </c>
      <c r="R35" s="9">
        <v>1288140</v>
      </c>
      <c r="S35" s="18">
        <v>88982</v>
      </c>
      <c r="T35" s="19">
        <f t="shared" si="0"/>
        <v>93.092210474016795</v>
      </c>
    </row>
    <row r="36" spans="1:20" ht="14.4" thickBot="1" x14ac:dyDescent="0.3">
      <c r="A36" s="2">
        <v>0</v>
      </c>
      <c r="B36" s="2" t="s">
        <v>5</v>
      </c>
      <c r="C36" s="2" t="s">
        <v>17</v>
      </c>
      <c r="D36" s="2" t="s">
        <v>22</v>
      </c>
      <c r="E36" s="2">
        <v>1273290</v>
      </c>
      <c r="H36" s="10" t="s">
        <v>17</v>
      </c>
      <c r="I36" s="10" t="s">
        <v>22</v>
      </c>
      <c r="J36" s="12">
        <v>2830</v>
      </c>
      <c r="K36" s="12">
        <v>2830</v>
      </c>
      <c r="L36" s="12">
        <v>2830</v>
      </c>
      <c r="M36" s="9">
        <v>1273290</v>
      </c>
      <c r="N36" s="12">
        <v>2830</v>
      </c>
      <c r="P36" s="10" t="s">
        <v>17</v>
      </c>
      <c r="Q36" s="10" t="s">
        <v>22</v>
      </c>
      <c r="R36" s="9">
        <v>1273290</v>
      </c>
      <c r="S36" s="12">
        <v>2830</v>
      </c>
      <c r="T36" s="19">
        <f t="shared" si="0"/>
        <v>99.777741127315849</v>
      </c>
    </row>
    <row r="37" spans="1:20" x14ac:dyDescent="0.25">
      <c r="A37" s="2">
        <v>0</v>
      </c>
      <c r="B37" s="2" t="s">
        <v>5</v>
      </c>
      <c r="C37" s="2" t="s">
        <v>17</v>
      </c>
      <c r="D37" s="2" t="s">
        <v>23</v>
      </c>
      <c r="E37" s="2">
        <v>1015720</v>
      </c>
      <c r="H37" s="13" t="s">
        <v>17</v>
      </c>
      <c r="I37" s="13" t="s">
        <v>23</v>
      </c>
      <c r="J37" s="14">
        <v>0</v>
      </c>
      <c r="K37" s="14">
        <v>0</v>
      </c>
      <c r="L37" s="14">
        <v>0</v>
      </c>
      <c r="M37" s="9">
        <v>1015720</v>
      </c>
      <c r="N37" s="14">
        <v>0</v>
      </c>
      <c r="P37" s="13" t="s">
        <v>17</v>
      </c>
      <c r="Q37" s="13" t="s">
        <v>23</v>
      </c>
      <c r="R37" s="9">
        <v>1015720</v>
      </c>
      <c r="S37" s="14">
        <v>0</v>
      </c>
      <c r="T37" s="19">
        <f t="shared" si="0"/>
        <v>100</v>
      </c>
    </row>
    <row r="38" spans="1:20" ht="14.4" thickBot="1" x14ac:dyDescent="0.3">
      <c r="A38" s="2">
        <v>0</v>
      </c>
      <c r="B38" s="2" t="s">
        <v>5</v>
      </c>
      <c r="C38" s="2" t="s">
        <v>18</v>
      </c>
      <c r="D38" s="2" t="s">
        <v>21</v>
      </c>
      <c r="E38" s="2">
        <v>371780</v>
      </c>
      <c r="H38" s="16" t="s">
        <v>18</v>
      </c>
      <c r="I38" s="16" t="s">
        <v>21</v>
      </c>
      <c r="J38" s="17">
        <v>48230</v>
      </c>
      <c r="K38" s="18">
        <v>98950</v>
      </c>
      <c r="L38" s="18">
        <v>48470</v>
      </c>
      <c r="M38" s="9">
        <v>371780</v>
      </c>
      <c r="N38" s="18">
        <v>109480</v>
      </c>
      <c r="P38" s="16" t="s">
        <v>18</v>
      </c>
      <c r="Q38" s="16" t="s">
        <v>21</v>
      </c>
      <c r="R38" s="9">
        <v>371780</v>
      </c>
      <c r="S38" s="18">
        <v>109480</v>
      </c>
      <c r="T38" s="19">
        <f t="shared" si="0"/>
        <v>70.552477271504657</v>
      </c>
    </row>
    <row r="39" spans="1:20" ht="14.4" thickBot="1" x14ac:dyDescent="0.3">
      <c r="A39" s="2">
        <v>0</v>
      </c>
      <c r="B39" s="2" t="s">
        <v>5</v>
      </c>
      <c r="C39" s="2" t="s">
        <v>18</v>
      </c>
      <c r="D39" s="2" t="s">
        <v>22</v>
      </c>
      <c r="E39" s="2">
        <v>290640</v>
      </c>
      <c r="H39" s="10" t="s">
        <v>18</v>
      </c>
      <c r="I39" s="10" t="s">
        <v>22</v>
      </c>
      <c r="J39" s="11">
        <v>1870</v>
      </c>
      <c r="K39" s="11">
        <v>1870</v>
      </c>
      <c r="L39" s="11">
        <v>1870</v>
      </c>
      <c r="M39" s="9">
        <v>290640</v>
      </c>
      <c r="N39" s="12">
        <v>1860</v>
      </c>
      <c r="P39" s="10" t="s">
        <v>18</v>
      </c>
      <c r="Q39" s="10" t="s">
        <v>22</v>
      </c>
      <c r="R39" s="9">
        <v>290640</v>
      </c>
      <c r="S39" s="12">
        <v>1860</v>
      </c>
      <c r="T39" s="19">
        <f t="shared" si="0"/>
        <v>99.360033030553268</v>
      </c>
    </row>
    <row r="40" spans="1:20" x14ac:dyDescent="0.25">
      <c r="A40" s="2">
        <v>0</v>
      </c>
      <c r="B40" s="2" t="s">
        <v>5</v>
      </c>
      <c r="C40" s="2" t="s">
        <v>18</v>
      </c>
      <c r="D40" s="2" t="s">
        <v>23</v>
      </c>
      <c r="E40" s="2">
        <v>345740</v>
      </c>
      <c r="H40" s="13" t="s">
        <v>18</v>
      </c>
      <c r="I40" s="13" t="s">
        <v>23</v>
      </c>
      <c r="J40" s="14">
        <v>0</v>
      </c>
      <c r="K40" s="15">
        <v>450</v>
      </c>
      <c r="L40" s="15">
        <v>140</v>
      </c>
      <c r="M40" s="9">
        <v>345740</v>
      </c>
      <c r="N40" s="14">
        <v>0</v>
      </c>
      <c r="P40" s="13" t="s">
        <v>18</v>
      </c>
      <c r="Q40" s="13" t="s">
        <v>23</v>
      </c>
      <c r="R40" s="9">
        <v>345740</v>
      </c>
      <c r="S40" s="14">
        <v>0</v>
      </c>
      <c r="T40" s="19">
        <f t="shared" si="0"/>
        <v>100</v>
      </c>
    </row>
    <row r="41" spans="1:20" ht="14.4" thickBot="1" x14ac:dyDescent="0.3">
      <c r="A41" s="2">
        <v>0</v>
      </c>
      <c r="B41" s="2" t="s">
        <v>5</v>
      </c>
      <c r="C41" s="2" t="s">
        <v>19</v>
      </c>
      <c r="D41" s="2" t="s">
        <v>21</v>
      </c>
      <c r="E41" s="2">
        <v>444240</v>
      </c>
      <c r="H41" s="16" t="s">
        <v>19</v>
      </c>
      <c r="I41" s="16" t="s">
        <v>21</v>
      </c>
      <c r="J41" s="17">
        <v>36680</v>
      </c>
      <c r="K41" s="18">
        <v>75100</v>
      </c>
      <c r="L41" s="18">
        <v>37910</v>
      </c>
      <c r="M41" s="9">
        <v>444240</v>
      </c>
      <c r="N41" s="18">
        <v>134330</v>
      </c>
      <c r="P41" s="16" t="s">
        <v>19</v>
      </c>
      <c r="Q41" s="16" t="s">
        <v>21</v>
      </c>
      <c r="R41" s="9">
        <v>444240</v>
      </c>
      <c r="S41" s="18">
        <v>134330</v>
      </c>
      <c r="T41" s="19">
        <f t="shared" si="0"/>
        <v>69.761840446605433</v>
      </c>
    </row>
    <row r="42" spans="1:20" ht="14.4" thickBot="1" x14ac:dyDescent="0.3">
      <c r="A42" s="2">
        <v>0</v>
      </c>
      <c r="B42" s="2" t="s">
        <v>5</v>
      </c>
      <c r="C42" s="2" t="s">
        <v>19</v>
      </c>
      <c r="D42" s="2" t="s">
        <v>22</v>
      </c>
      <c r="E42" s="2">
        <v>1183250</v>
      </c>
      <c r="H42" s="10" t="s">
        <v>19</v>
      </c>
      <c r="I42" s="10" t="s">
        <v>22</v>
      </c>
      <c r="J42" s="12">
        <v>220</v>
      </c>
      <c r="K42" s="12">
        <v>220</v>
      </c>
      <c r="L42" s="12">
        <v>220</v>
      </c>
      <c r="M42" s="9">
        <v>1183250</v>
      </c>
      <c r="N42" s="12">
        <v>220</v>
      </c>
      <c r="P42" s="10" t="s">
        <v>19</v>
      </c>
      <c r="Q42" s="10" t="s">
        <v>22</v>
      </c>
      <c r="R42" s="9">
        <v>1183250</v>
      </c>
      <c r="S42" s="12">
        <v>220</v>
      </c>
      <c r="T42" s="19">
        <f t="shared" si="0"/>
        <v>99.981407141347972</v>
      </c>
    </row>
    <row r="43" spans="1:20" x14ac:dyDescent="0.25">
      <c r="A43" s="2">
        <v>0</v>
      </c>
      <c r="B43" s="2" t="s">
        <v>5</v>
      </c>
      <c r="C43" s="2" t="s">
        <v>19</v>
      </c>
      <c r="D43" s="2" t="s">
        <v>23</v>
      </c>
      <c r="E43" s="2">
        <v>611010</v>
      </c>
      <c r="H43" s="13" t="s">
        <v>19</v>
      </c>
      <c r="I43" s="13" t="s">
        <v>23</v>
      </c>
      <c r="J43" s="14">
        <v>0</v>
      </c>
      <c r="K43" s="15">
        <v>400</v>
      </c>
      <c r="L43" s="14">
        <v>0</v>
      </c>
      <c r="M43" s="9">
        <v>611010</v>
      </c>
      <c r="N43" s="14">
        <v>0</v>
      </c>
      <c r="P43" s="13" t="s">
        <v>19</v>
      </c>
      <c r="Q43" s="13" t="s">
        <v>23</v>
      </c>
      <c r="R43" s="9">
        <v>611010</v>
      </c>
      <c r="S43" s="14">
        <v>0</v>
      </c>
      <c r="T43" s="19">
        <f t="shared" si="0"/>
        <v>100</v>
      </c>
    </row>
    <row r="44" spans="1:20" ht="14.4" thickBot="1" x14ac:dyDescent="0.3">
      <c r="A44" s="2">
        <v>0</v>
      </c>
      <c r="B44" s="2" t="s">
        <v>5</v>
      </c>
      <c r="C44" s="2" t="s">
        <v>20</v>
      </c>
      <c r="D44" s="2" t="s">
        <v>21</v>
      </c>
      <c r="E44" s="2">
        <v>5094010</v>
      </c>
      <c r="H44" s="16" t="s">
        <v>20</v>
      </c>
      <c r="I44" s="16" t="s">
        <v>21</v>
      </c>
      <c r="J44" s="17">
        <v>56930</v>
      </c>
      <c r="K44" s="18">
        <v>228820</v>
      </c>
      <c r="L44" s="17">
        <v>56930</v>
      </c>
      <c r="M44" s="9">
        <v>5094010</v>
      </c>
      <c r="N44" s="18">
        <v>402124</v>
      </c>
      <c r="P44" s="16" t="s">
        <v>20</v>
      </c>
      <c r="Q44" s="16" t="s">
        <v>21</v>
      </c>
      <c r="R44" s="9">
        <v>5094010</v>
      </c>
      <c r="S44" s="18">
        <v>402124</v>
      </c>
      <c r="T44" s="19">
        <f t="shared" si="0"/>
        <v>92.10594404015697</v>
      </c>
    </row>
    <row r="45" spans="1:20" ht="14.4" thickBot="1" x14ac:dyDescent="0.3">
      <c r="A45" s="2">
        <v>0</v>
      </c>
      <c r="B45" s="2" t="s">
        <v>5</v>
      </c>
      <c r="C45" s="2" t="s">
        <v>20</v>
      </c>
      <c r="D45" s="2" t="s">
        <v>22</v>
      </c>
      <c r="E45" s="2">
        <v>4494860</v>
      </c>
      <c r="H45" s="10" t="s">
        <v>20</v>
      </c>
      <c r="I45" s="10" t="s">
        <v>22</v>
      </c>
      <c r="J45" s="11">
        <v>3500</v>
      </c>
      <c r="K45" s="12">
        <v>3470</v>
      </c>
      <c r="L45" s="11">
        <v>3500</v>
      </c>
      <c r="M45" s="9">
        <v>4494860</v>
      </c>
      <c r="N45" s="11">
        <v>3500</v>
      </c>
      <c r="P45" s="10" t="s">
        <v>20</v>
      </c>
      <c r="Q45" s="10" t="s">
        <v>22</v>
      </c>
      <c r="R45" s="9">
        <v>4494860</v>
      </c>
      <c r="S45" s="11">
        <v>3500</v>
      </c>
      <c r="T45" s="19">
        <f t="shared" si="0"/>
        <v>99.922133281125554</v>
      </c>
    </row>
    <row r="46" spans="1:20" ht="14.4" thickBot="1" x14ac:dyDescent="0.3">
      <c r="A46" s="2">
        <v>0</v>
      </c>
      <c r="B46" s="2" t="s">
        <v>5</v>
      </c>
      <c r="C46" s="2" t="s">
        <v>20</v>
      </c>
      <c r="D46" s="2" t="s">
        <v>23</v>
      </c>
      <c r="E46" s="2">
        <v>4126710</v>
      </c>
      <c r="H46" s="10" t="s">
        <v>20</v>
      </c>
      <c r="I46" s="10" t="s">
        <v>23</v>
      </c>
      <c r="J46" s="12">
        <v>0</v>
      </c>
      <c r="K46" s="11">
        <v>440</v>
      </c>
      <c r="L46" s="12">
        <v>0</v>
      </c>
      <c r="M46" s="9">
        <v>4126710</v>
      </c>
      <c r="N46" s="12">
        <v>0</v>
      </c>
      <c r="P46" s="10" t="s">
        <v>20</v>
      </c>
      <c r="Q46" s="10" t="s">
        <v>23</v>
      </c>
      <c r="R46" s="9">
        <v>4126710</v>
      </c>
      <c r="S46" s="12">
        <v>0</v>
      </c>
      <c r="T46" s="19">
        <f t="shared" si="0"/>
        <v>100</v>
      </c>
    </row>
    <row r="47" spans="1:20" x14ac:dyDescent="0.25">
      <c r="S47" s="2" t="s">
        <v>30</v>
      </c>
      <c r="T47" s="20">
        <f>AVERAGE(T2:T46)</f>
        <v>93.947167068049552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Huynh Hoang My Dung</cp:lastModifiedBy>
  <dcterms:created xsi:type="dcterms:W3CDTF">2024-12-01T04:06:41Z</dcterms:created>
  <dcterms:modified xsi:type="dcterms:W3CDTF">2024-12-01T07:19:34Z</dcterms:modified>
</cp:coreProperties>
</file>